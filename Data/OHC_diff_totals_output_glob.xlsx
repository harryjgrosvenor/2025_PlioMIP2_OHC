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rry\01.HarryGrosvenor\02.Research\05.Local_Repos\202404_01.PlioMIP2_ThetaO\Data\01.thetao\01.OneTime\"/>
    </mc:Choice>
  </mc:AlternateContent>
  <xr:revisionPtr revIDLastSave="0" documentId="13_ncr:1_{95D335E4-8D19-4A1D-A562-18F993A836C6}" xr6:coauthVersionLast="47" xr6:coauthVersionMax="47" xr10:uidLastSave="{00000000-0000-0000-0000-000000000000}"/>
  <bookViews>
    <workbookView xWindow="9000" yWindow="12852" windowWidth="23256" windowHeight="12456" activeTab="1" xr2:uid="{00000000-000D-0000-FFFF-FFFF00000000}"/>
  </bookViews>
  <sheets>
    <sheet name="OHC diffs Globally" sheetId="1" r:id="rId1"/>
    <sheet name="OHC diffs 0-700 m depth" sheetId="2" r:id="rId2"/>
    <sheet name="OHC diffs 400-700 m dept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3" l="1"/>
  <c r="D15" i="3"/>
  <c r="E15" i="3"/>
  <c r="B15" i="3"/>
  <c r="F3" i="3"/>
  <c r="F4" i="3"/>
  <c r="F5" i="3"/>
  <c r="F6" i="3"/>
  <c r="F7" i="3"/>
  <c r="F8" i="3"/>
  <c r="F9" i="3"/>
  <c r="F10" i="3"/>
  <c r="F11" i="3"/>
  <c r="F12" i="3"/>
  <c r="F13" i="3"/>
  <c r="F14" i="3"/>
  <c r="F2" i="3"/>
  <c r="F15" i="3" s="1"/>
  <c r="F9" i="2" l="1"/>
  <c r="F3" i="2"/>
  <c r="F4" i="2"/>
  <c r="F5" i="2"/>
  <c r="F6" i="2"/>
  <c r="F7" i="2"/>
  <c r="F8" i="2"/>
  <c r="F10" i="2"/>
  <c r="F11" i="2"/>
  <c r="F15" i="2" s="1"/>
  <c r="F12" i="2"/>
  <c r="F13" i="2"/>
  <c r="F14" i="2"/>
  <c r="F2" i="2"/>
  <c r="F16" i="2" s="1"/>
  <c r="F17" i="2" s="1"/>
  <c r="E15" i="2"/>
  <c r="F3" i="1"/>
  <c r="F4" i="1"/>
  <c r="F5" i="1"/>
  <c r="F6" i="1"/>
  <c r="F7" i="1"/>
  <c r="F8" i="1"/>
  <c r="F9" i="1"/>
  <c r="F10" i="1"/>
  <c r="F11" i="1"/>
  <c r="F12" i="1"/>
  <c r="F13" i="1"/>
  <c r="F14" i="1"/>
  <c r="F2" i="1"/>
  <c r="E15" i="1"/>
  <c r="C15" i="1"/>
  <c r="D15" i="1"/>
  <c r="B15" i="1"/>
  <c r="D15" i="2"/>
  <c r="C15" i="2"/>
  <c r="B15" i="2"/>
  <c r="F15" i="1" l="1"/>
</calcChain>
</file>

<file path=xl/sharedStrings.xml><?xml version="1.0" encoding="utf-8"?>
<sst xmlns="http://schemas.openxmlformats.org/spreadsheetml/2006/main" count="62" uniqueCount="22">
  <si>
    <t>Model</t>
  </si>
  <si>
    <t>Ocean volume (m^3)</t>
  </si>
  <si>
    <t>OHC Difference (J)</t>
  </si>
  <si>
    <t>OHC Difference (J/m3)</t>
  </si>
  <si>
    <t>CCSM4</t>
  </si>
  <si>
    <t>CCSM4-Utrecht</t>
  </si>
  <si>
    <t>CESM1.2</t>
  </si>
  <si>
    <t>CESM2</t>
  </si>
  <si>
    <t>COSMOS</t>
  </si>
  <si>
    <t>EC-Earth3-LR</t>
  </si>
  <si>
    <t>GISS-E2-1-G</t>
  </si>
  <si>
    <t>HadCM3</t>
  </si>
  <si>
    <t>HadGEM3</t>
  </si>
  <si>
    <t>IPSL-CM6A-LR</t>
  </si>
  <si>
    <t>MIROC4M</t>
  </si>
  <si>
    <t>NorESM-L</t>
  </si>
  <si>
    <t>NorESM1-F</t>
  </si>
  <si>
    <t>OHC Diff in pi Ocean (J)</t>
  </si>
  <si>
    <t>MME</t>
  </si>
  <si>
    <t>pi Ocean Volume (m^3)</t>
  </si>
  <si>
    <t>STD</t>
  </si>
  <si>
    <t>RSD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</si>
</sst>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0E+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1" fontId="1" fillId="0" borderId="0" xfId="0" applyNumberFormat="1" applyFont="1"/>
    <xf numFmtId="10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C2" sqref="C2"/>
    </sheetView>
  </sheetViews>
  <sheetFormatPr defaultRowHeight="15" x14ac:dyDescent="0.25"/>
  <cols>
    <col min="1" max="1" width="14.42578125" bestFit="1" customWidth="1"/>
    <col min="2" max="2" width="19.5703125" bestFit="1" customWidth="1"/>
    <col min="3" max="3" width="17.5703125" bestFit="1" customWidth="1"/>
    <col min="4" max="4" width="21.140625" bestFit="1" customWidth="1"/>
    <col min="5" max="5" width="21.140625" customWidth="1"/>
    <col min="6" max="6" width="19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19</v>
      </c>
      <c r="F1" t="s">
        <v>17</v>
      </c>
    </row>
    <row r="2" spans="1:6" x14ac:dyDescent="0.25">
      <c r="A2" t="s">
        <v>4</v>
      </c>
      <c r="B2" s="3">
        <v>1.3134055091527511E+18</v>
      </c>
      <c r="C2" s="3">
        <v>7.7087449308530828E+24</v>
      </c>
      <c r="D2" s="3">
        <v>5869280.1858474212</v>
      </c>
      <c r="E2" s="3">
        <v>1.325318722753887E+18</v>
      </c>
      <c r="F2" s="3">
        <f>D2*E2</f>
        <v>7.7786669193920007E+24</v>
      </c>
    </row>
    <row r="3" spans="1:6" x14ac:dyDescent="0.25">
      <c r="A3" t="s">
        <v>5</v>
      </c>
      <c r="B3" s="3">
        <v>3.4097411092621741E+17</v>
      </c>
      <c r="C3" s="3">
        <v>4.679611011287843E+24</v>
      </c>
      <c r="D3" s="3">
        <v>13724241.405238099</v>
      </c>
      <c r="E3" s="3">
        <v>3.4640974952006541E+17</v>
      </c>
      <c r="F3" s="3">
        <f t="shared" ref="F3:F14" si="0">D3*E3</f>
        <v>4.7542110275414405E+24</v>
      </c>
    </row>
    <row r="4" spans="1:6" x14ac:dyDescent="0.25">
      <c r="A4" t="s">
        <v>6</v>
      </c>
      <c r="B4" s="3">
        <v>1.3134055091527511E+18</v>
      </c>
      <c r="C4" s="3">
        <v>1.208821366138768E+25</v>
      </c>
      <c r="D4" s="3">
        <v>9203717.7986146305</v>
      </c>
      <c r="E4" s="3">
        <v>1.325318722753887E+18</v>
      </c>
      <c r="F4" s="3">
        <f t="shared" si="0"/>
        <v>1.2197859517447158E+25</v>
      </c>
    </row>
    <row r="5" spans="1:6" x14ac:dyDescent="0.25">
      <c r="A5" t="s">
        <v>7</v>
      </c>
      <c r="B5" s="3">
        <v>1.313275627826538E+18</v>
      </c>
      <c r="C5" s="3">
        <v>1.3128851875734359E+25</v>
      </c>
      <c r="D5" s="3">
        <v>9997026.9740423933</v>
      </c>
      <c r="E5" s="3">
        <v>1.3252998821679491E+18</v>
      </c>
      <c r="F5" s="3">
        <f t="shared" si="0"/>
        <v>1.3249058670728193E+25</v>
      </c>
    </row>
    <row r="6" spans="1:6" x14ac:dyDescent="0.25">
      <c r="A6" t="s">
        <v>8</v>
      </c>
      <c r="B6" s="3">
        <v>1.374334532452844E+18</v>
      </c>
      <c r="C6" s="3">
        <v>9.7227985010760411E+24</v>
      </c>
      <c r="D6" s="3">
        <v>7074550.0978741106</v>
      </c>
      <c r="E6" s="3">
        <v>1.4318678223530061E+18</v>
      </c>
      <c r="F6" s="3">
        <f t="shared" si="0"/>
        <v>1.0129820642770249E+25</v>
      </c>
    </row>
    <row r="7" spans="1:6" x14ac:dyDescent="0.25">
      <c r="A7" t="s">
        <v>9</v>
      </c>
      <c r="B7" s="3">
        <v>1.306923590245716E+18</v>
      </c>
      <c r="C7" s="3">
        <v>9.4613571707059491E+24</v>
      </c>
      <c r="D7" s="3">
        <v>7239411.1188452207</v>
      </c>
      <c r="E7" s="3">
        <v>1.3694044401656599E+18</v>
      </c>
      <c r="F7" s="3">
        <f t="shared" si="0"/>
        <v>9.9136817303312932E+24</v>
      </c>
    </row>
    <row r="8" spans="1:6" x14ac:dyDescent="0.25">
      <c r="A8" t="s">
        <v>10</v>
      </c>
      <c r="B8" s="3">
        <v>1.2682908044355689E+18</v>
      </c>
      <c r="C8" s="3">
        <v>7.8993391477415734E+24</v>
      </c>
      <c r="D8" s="3">
        <v>6228334.3221565317</v>
      </c>
      <c r="E8" s="3">
        <v>1.3084477040113019E+18</v>
      </c>
      <c r="F8" s="3">
        <f t="shared" si="0"/>
        <v>8.1494497436405023E+24</v>
      </c>
    </row>
    <row r="9" spans="1:6" x14ac:dyDescent="0.25">
      <c r="A9" t="s">
        <v>11</v>
      </c>
      <c r="B9" s="3">
        <v>1.3807941303269151E+18</v>
      </c>
      <c r="C9" s="3">
        <v>1.2757306034532499E+25</v>
      </c>
      <c r="D9" s="3">
        <v>9239107.9555879217</v>
      </c>
      <c r="E9" s="3">
        <v>1.4224795751755269E+18</v>
      </c>
      <c r="F9" s="3">
        <f t="shared" si="0"/>
        <v>1.3142442359665538E+25</v>
      </c>
    </row>
    <row r="10" spans="1:6" x14ac:dyDescent="0.25">
      <c r="A10" t="s">
        <v>12</v>
      </c>
      <c r="B10" s="3">
        <v>1.360742020743361E+18</v>
      </c>
      <c r="C10" s="3">
        <v>7.6923728451292568E+24</v>
      </c>
      <c r="D10" s="3">
        <v>5653072.1678801281</v>
      </c>
      <c r="E10" s="3">
        <v>1.360742020743361E+18</v>
      </c>
      <c r="F10" s="3">
        <f t="shared" si="0"/>
        <v>7.6923728451292578E+24</v>
      </c>
    </row>
    <row r="11" spans="1:6" x14ac:dyDescent="0.25">
      <c r="A11" t="s">
        <v>13</v>
      </c>
      <c r="B11" s="3">
        <v>1.3632707233841149E+18</v>
      </c>
      <c r="C11" s="3">
        <v>1.069649842369294E+25</v>
      </c>
      <c r="D11" s="3">
        <v>7846202.6948986975</v>
      </c>
      <c r="E11" s="3">
        <v>1.3636155577183759E+18</v>
      </c>
      <c r="F11" s="3">
        <f t="shared" si="0"/>
        <v>1.0699204063775711E+25</v>
      </c>
    </row>
    <row r="12" spans="1:6" x14ac:dyDescent="0.25">
      <c r="A12" t="s">
        <v>14</v>
      </c>
      <c r="B12" s="3">
        <v>1.2720324723747761E+18</v>
      </c>
      <c r="C12" s="3">
        <v>7.3092393093830712E+24</v>
      </c>
      <c r="D12" s="3">
        <v>5746110.628557574</v>
      </c>
      <c r="E12" s="3">
        <v>1.316085758824158E+18</v>
      </c>
      <c r="F12" s="3">
        <f t="shared" si="0"/>
        <v>7.5623743668727545E+24</v>
      </c>
    </row>
    <row r="13" spans="1:6" x14ac:dyDescent="0.25">
      <c r="A13" t="s">
        <v>15</v>
      </c>
      <c r="B13" s="3">
        <v>1.1724741051147981E+18</v>
      </c>
      <c r="C13" s="3">
        <v>5.5224205891321268E+24</v>
      </c>
      <c r="D13" s="3">
        <v>4710057.6166596189</v>
      </c>
      <c r="E13" s="3">
        <v>1.172598205906229E+18</v>
      </c>
      <c r="F13" s="3">
        <f t="shared" si="0"/>
        <v>5.5230051110100377E+24</v>
      </c>
    </row>
    <row r="14" spans="1:6" x14ac:dyDescent="0.25">
      <c r="A14" t="s">
        <v>16</v>
      </c>
      <c r="B14" s="3">
        <v>1.2720679321585779E+18</v>
      </c>
      <c r="C14" s="3">
        <v>6.7316529719497492E+24</v>
      </c>
      <c r="D14" s="3">
        <v>5291897.391459886</v>
      </c>
      <c r="E14" s="3">
        <v>1.272150429735457E+18</v>
      </c>
      <c r="F14" s="3">
        <f t="shared" si="0"/>
        <v>6.7320895406616382E+24</v>
      </c>
    </row>
    <row r="15" spans="1:6" x14ac:dyDescent="0.25">
      <c r="A15" s="2" t="s">
        <v>18</v>
      </c>
      <c r="B15" s="4">
        <f>AVERAGE(B2:B14)</f>
        <v>1.2347685437149944E+18</v>
      </c>
      <c r="C15" s="4">
        <f t="shared" ref="C15:F15" si="1">AVERAGE(C2:C14)</f>
        <v>8.8768004978927817E+24</v>
      </c>
      <c r="D15" s="4">
        <f t="shared" si="1"/>
        <v>7524846.9505894026</v>
      </c>
      <c r="E15" s="4">
        <f>AVERAGE(E2:E14)</f>
        <v>1.2569029686022203E+18</v>
      </c>
      <c r="F15" s="4">
        <f t="shared" si="1"/>
        <v>9.0403258876127506E+24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"/>
  <sheetViews>
    <sheetView tabSelected="1" workbookViewId="0">
      <selection activeCell="F5" sqref="F5"/>
    </sheetView>
  </sheetViews>
  <sheetFormatPr defaultRowHeight="15" x14ac:dyDescent="0.25"/>
  <cols>
    <col min="1" max="1" width="14.42578125" bestFit="1" customWidth="1"/>
    <col min="2" max="2" width="19.5703125" customWidth="1"/>
    <col min="3" max="3" width="17.5703125" customWidth="1"/>
    <col min="4" max="5" width="21.140625" customWidth="1"/>
    <col min="6" max="6" width="21.85546875" bestFit="1" customWidth="1"/>
    <col min="8" max="8" width="9.85546875" bestFit="1" customWidth="1"/>
    <col min="9" max="9" width="0" hidden="1" customWidth="1"/>
  </cols>
  <sheetData>
    <row r="1" spans="1:8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17</v>
      </c>
    </row>
    <row r="2" spans="1:8" x14ac:dyDescent="0.25">
      <c r="A2" t="s">
        <v>4</v>
      </c>
      <c r="B2" s="3">
        <v>2.3989053781938909E+17</v>
      </c>
      <c r="C2" s="3">
        <v>1.6597747785739491E+24</v>
      </c>
      <c r="D2" s="3">
        <v>6918883.8945518332</v>
      </c>
      <c r="E2">
        <v>2.4138008611807322E+17</v>
      </c>
      <c r="F2" s="7">
        <f>D2*E2</f>
        <v>1.6700807903078712E+24</v>
      </c>
    </row>
    <row r="3" spans="1:8" x14ac:dyDescent="0.25">
      <c r="A3" t="s">
        <v>5</v>
      </c>
      <c r="B3" s="3">
        <v>2.323534923813184E+17</v>
      </c>
      <c r="C3" s="3">
        <v>3.038830534545608E+24</v>
      </c>
      <c r="D3" s="3">
        <v>13078480.135596771</v>
      </c>
      <c r="E3">
        <v>2.3603117294852518E+17</v>
      </c>
      <c r="F3" s="7">
        <f t="shared" ref="F3:F14" si="0">D3*E3</f>
        <v>3.0869290067888927E+24</v>
      </c>
    </row>
    <row r="4" spans="1:8" x14ac:dyDescent="0.25">
      <c r="A4" t="s">
        <v>6</v>
      </c>
      <c r="B4" s="3">
        <v>2.3989053781938909E+17</v>
      </c>
      <c r="C4" s="3">
        <v>2.5343233403141159E+24</v>
      </c>
      <c r="D4" s="3">
        <v>10564498.972536299</v>
      </c>
      <c r="E4">
        <v>2.4138008611807322E+17</v>
      </c>
      <c r="F4" s="7">
        <f t="shared" si="0"/>
        <v>2.5500596717851081E+24</v>
      </c>
    </row>
    <row r="5" spans="1:8" x14ac:dyDescent="0.25">
      <c r="A5" t="s">
        <v>7</v>
      </c>
      <c r="B5" s="3">
        <v>2.3980392349821709E+17</v>
      </c>
      <c r="C5" s="3">
        <v>2.7873187196668302E+24</v>
      </c>
      <c r="D5" s="3">
        <v>11623324.084968749</v>
      </c>
      <c r="E5">
        <v>2.413631143030385E+17</v>
      </c>
      <c r="F5" s="7">
        <f t="shared" si="0"/>
        <v>2.8054416997015724E+24</v>
      </c>
    </row>
    <row r="6" spans="1:8" x14ac:dyDescent="0.25">
      <c r="A6" t="s">
        <v>8</v>
      </c>
      <c r="B6" s="3">
        <v>2.501195883812497E+17</v>
      </c>
      <c r="C6" s="3">
        <v>1.817861603893894E+24</v>
      </c>
      <c r="D6" s="3">
        <v>7267969.7566229142</v>
      </c>
      <c r="E6">
        <v>2.5614027293643021E+17</v>
      </c>
      <c r="F6" s="7">
        <f t="shared" si="0"/>
        <v>1.8616197571551136E+24</v>
      </c>
    </row>
    <row r="7" spans="1:8" x14ac:dyDescent="0.25">
      <c r="A7" t="s">
        <v>9</v>
      </c>
      <c r="B7" s="3">
        <v>2.322173544007176E+17</v>
      </c>
      <c r="C7" s="3">
        <v>2.1674058083154629E+24</v>
      </c>
      <c r="D7" s="3">
        <v>9333522.0957489517</v>
      </c>
      <c r="E7">
        <v>2.359043435805791E+17</v>
      </c>
      <c r="F7" s="7">
        <f t="shared" si="0"/>
        <v>2.2018184032924875E+24</v>
      </c>
    </row>
    <row r="8" spans="1:8" x14ac:dyDescent="0.25">
      <c r="A8" t="s">
        <v>10</v>
      </c>
      <c r="B8" s="3">
        <v>2.364174853728487E+17</v>
      </c>
      <c r="C8" s="3">
        <v>1.048207342601627E+24</v>
      </c>
      <c r="D8" s="3">
        <v>4433713.2718780199</v>
      </c>
      <c r="E8">
        <v>2.3890710084718499E+17</v>
      </c>
      <c r="F8" s="7">
        <f t="shared" si="0"/>
        <v>1.0592455837720646E+24</v>
      </c>
    </row>
    <row r="9" spans="1:8" x14ac:dyDescent="0.25">
      <c r="A9" t="s">
        <v>11</v>
      </c>
      <c r="B9" s="3">
        <v>2.2468012852853741E+17</v>
      </c>
      <c r="C9" s="3">
        <v>1.6393661469034719E+24</v>
      </c>
      <c r="D9" s="3">
        <v>7296444.7618929055</v>
      </c>
      <c r="E9">
        <v>2.2714360163890259E+17</v>
      </c>
      <c r="F9" s="7">
        <f>D9*E9</f>
        <v>1.6573407423756596E+24</v>
      </c>
    </row>
    <row r="10" spans="1:8" x14ac:dyDescent="0.25">
      <c r="A10" t="s">
        <v>12</v>
      </c>
      <c r="B10" s="3">
        <v>2.4067566257426051E+17</v>
      </c>
      <c r="C10" s="3">
        <v>3.0379232427261271E+24</v>
      </c>
      <c r="D10" s="3">
        <v>12622477.94493461</v>
      </c>
      <c r="E10">
        <v>2.4067566257426051E+17</v>
      </c>
      <c r="F10" s="7">
        <f t="shared" si="0"/>
        <v>3.0379232427261277E+24</v>
      </c>
    </row>
    <row r="11" spans="1:8" x14ac:dyDescent="0.25">
      <c r="A11" t="s">
        <v>13</v>
      </c>
      <c r="B11" s="3">
        <v>2.3445306888129229E+17</v>
      </c>
      <c r="C11" s="3">
        <v>1.5269866982621891E+24</v>
      </c>
      <c r="D11" s="3">
        <v>6512973.8141125739</v>
      </c>
      <c r="E11">
        <v>2.3473445781112122E+17</v>
      </c>
      <c r="F11" s="7">
        <f t="shared" si="0"/>
        <v>1.5288193769937453E+24</v>
      </c>
    </row>
    <row r="12" spans="1:8" x14ac:dyDescent="0.25">
      <c r="A12" t="s">
        <v>14</v>
      </c>
      <c r="B12" s="3">
        <v>2.3531353702562099E+17</v>
      </c>
      <c r="C12" s="3">
        <v>1.6635294314418069E+24</v>
      </c>
      <c r="D12" s="3">
        <v>7069416.627997403</v>
      </c>
      <c r="E12">
        <v>2.3812234245352371E+17</v>
      </c>
      <c r="F12" s="7">
        <f t="shared" si="0"/>
        <v>1.6833860472386325E+24</v>
      </c>
      <c r="H12" s="3"/>
    </row>
    <row r="13" spans="1:8" x14ac:dyDescent="0.25">
      <c r="A13" t="s">
        <v>15</v>
      </c>
      <c r="B13" s="3">
        <v>2.2639264303773469E+17</v>
      </c>
      <c r="C13" s="3">
        <v>1.175326697778544E+24</v>
      </c>
      <c r="D13" s="3">
        <v>5191541.0412989566</v>
      </c>
      <c r="E13">
        <v>2.2646499938591802E+17</v>
      </c>
      <c r="F13" s="7">
        <f t="shared" si="0"/>
        <v>1.1757023387297364E+24</v>
      </c>
    </row>
    <row r="14" spans="1:8" x14ac:dyDescent="0.25">
      <c r="A14" t="s">
        <v>16</v>
      </c>
      <c r="B14" s="3">
        <v>2.3312039415470211E+17</v>
      </c>
      <c r="C14" s="3">
        <v>1.059632857178943E+24</v>
      </c>
      <c r="D14" s="3">
        <v>4545431.818701175</v>
      </c>
      <c r="E14">
        <v>2.33192819703548E+17</v>
      </c>
      <c r="F14" s="7">
        <f t="shared" si="0"/>
        <v>1.0599620625731534E+24</v>
      </c>
    </row>
    <row r="15" spans="1:8" x14ac:dyDescent="0.25">
      <c r="A15" s="2" t="s">
        <v>18</v>
      </c>
      <c r="B15" s="4">
        <f>AVERAGE(B2:B14)</f>
        <v>2.3579448875963677E+17</v>
      </c>
      <c r="C15" s="4">
        <f>AVERAGE(C2:C14)</f>
        <v>1.9351144001694285E+24</v>
      </c>
      <c r="D15" s="4">
        <f>AVERAGE(D2:D14)</f>
        <v>8189129.093910858</v>
      </c>
      <c r="E15" s="4">
        <f>AVERAGE(E2:E14)</f>
        <v>2.3780308157070598E+17</v>
      </c>
      <c r="F15" s="4">
        <f>AVERAGE(F2:F14)</f>
        <v>1.9521791325723204E+24</v>
      </c>
      <c r="G15" s="1"/>
    </row>
    <row r="16" spans="1:8" x14ac:dyDescent="0.25">
      <c r="A16" s="2" t="s">
        <v>20</v>
      </c>
      <c r="C16" s="1"/>
      <c r="F16" s="5">
        <f>_xlfn.STDEV.P(F2:F14)</f>
        <v>6.9264413405437013E+23</v>
      </c>
    </row>
    <row r="17" spans="1:6" x14ac:dyDescent="0.25">
      <c r="A17" s="2" t="s">
        <v>21</v>
      </c>
      <c r="F17" s="6">
        <f>(F16/F15)</f>
        <v>0.35480562336597482</v>
      </c>
    </row>
    <row r="23" spans="1:6" x14ac:dyDescent="0.25">
      <c r="D23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8E49-D773-46CB-AF49-D78C01171729}">
  <dimension ref="A1:F15"/>
  <sheetViews>
    <sheetView workbookViewId="0">
      <selection activeCell="H24" sqref="H24"/>
    </sheetView>
  </sheetViews>
  <sheetFormatPr defaultRowHeight="15" x14ac:dyDescent="0.25"/>
  <cols>
    <col min="1" max="1" width="14.42578125" bestFit="1" customWidth="1"/>
    <col min="2" max="2" width="19.5703125" bestFit="1" customWidth="1"/>
    <col min="3" max="3" width="17.5703125" bestFit="1" customWidth="1"/>
    <col min="4" max="4" width="21.140625" bestFit="1" customWidth="1"/>
    <col min="5" max="5" width="22.140625" bestFit="1" customWidth="1"/>
    <col min="6" max="6" width="21.85546875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17</v>
      </c>
    </row>
    <row r="2" spans="1:6" x14ac:dyDescent="0.25">
      <c r="A2" t="s">
        <v>4</v>
      </c>
      <c r="B2">
        <v>9.8997519685212848E+16</v>
      </c>
      <c r="C2">
        <v>6.806128774716576E+23</v>
      </c>
      <c r="D2">
        <v>6875049.7955487669</v>
      </c>
      <c r="E2">
        <v>9.9254718252437792E+16</v>
      </c>
      <c r="F2">
        <f>D2*E2</f>
        <v>6.8238113042867285E+23</v>
      </c>
    </row>
    <row r="3" spans="1:6" x14ac:dyDescent="0.25">
      <c r="A3" t="s">
        <v>5</v>
      </c>
      <c r="B3">
        <v>9.7054047710008816E+16</v>
      </c>
      <c r="C3">
        <v>1.3119701329388659E+24</v>
      </c>
      <c r="D3">
        <v>13517933.19181234</v>
      </c>
      <c r="E3">
        <v>9.8349139155167872E+16</v>
      </c>
      <c r="F3">
        <f t="shared" ref="F3:F14" si="0">D3*E3</f>
        <v>1.3294770925718143E+24</v>
      </c>
    </row>
    <row r="4" spans="1:6" x14ac:dyDescent="0.25">
      <c r="A4" t="s">
        <v>6</v>
      </c>
      <c r="B4">
        <v>9.8997519685212848E+16</v>
      </c>
      <c r="C4">
        <v>1.048452848425199E+24</v>
      </c>
      <c r="D4">
        <v>10590698.14838811</v>
      </c>
      <c r="E4">
        <v>9.9254718252437792E+16</v>
      </c>
      <c r="F4">
        <f t="shared" si="0"/>
        <v>1.0511767608148764E+24</v>
      </c>
    </row>
    <row r="5" spans="1:6" x14ac:dyDescent="0.25">
      <c r="A5" t="s">
        <v>7</v>
      </c>
      <c r="B5">
        <v>9.8978659271422608E+16</v>
      </c>
      <c r="C5">
        <v>1.1605487584760041E+24</v>
      </c>
      <c r="D5">
        <v>11725242.259480489</v>
      </c>
      <c r="E5">
        <v>9.9254716400402048E+16</v>
      </c>
      <c r="F5">
        <f t="shared" si="0"/>
        <v>1.1637855951907453E+24</v>
      </c>
    </row>
    <row r="6" spans="1:6" x14ac:dyDescent="0.25">
      <c r="A6" t="s">
        <v>8</v>
      </c>
      <c r="B6">
        <v>1.0520607946173501E+17</v>
      </c>
      <c r="C6">
        <v>7.1255366489034392E+23</v>
      </c>
      <c r="D6">
        <v>6772932.4059595829</v>
      </c>
      <c r="E6">
        <v>1.0718470454866781E+17</v>
      </c>
      <c r="F6">
        <f t="shared" si="0"/>
        <v>7.259547588608757E+23</v>
      </c>
    </row>
    <row r="7" spans="1:6" x14ac:dyDescent="0.25">
      <c r="A7" t="s">
        <v>9</v>
      </c>
      <c r="B7">
        <v>9.692188295975464E+16</v>
      </c>
      <c r="C7">
        <v>7.546419656966663E+23</v>
      </c>
      <c r="D7">
        <v>7786084.4491642835</v>
      </c>
      <c r="E7">
        <v>9.816586382952376E+16</v>
      </c>
      <c r="F7">
        <f t="shared" si="0"/>
        <v>7.6432770580183354E+23</v>
      </c>
    </row>
    <row r="8" spans="1:6" x14ac:dyDescent="0.25">
      <c r="A8" t="s">
        <v>10</v>
      </c>
      <c r="B8">
        <v>9.8306230172299728E+16</v>
      </c>
      <c r="C8">
        <v>4.0577997622483843E+23</v>
      </c>
      <c r="D8">
        <v>4127713.7320150961</v>
      </c>
      <c r="E8">
        <v>9.8917608776541024E+16</v>
      </c>
      <c r="F8">
        <f t="shared" si="0"/>
        <v>4.0830357208502536E+23</v>
      </c>
    </row>
    <row r="9" spans="1:6" x14ac:dyDescent="0.25">
      <c r="A9" t="s">
        <v>11</v>
      </c>
      <c r="B9">
        <v>8.4868446225645136E+16</v>
      </c>
      <c r="C9">
        <v>6.3591425026981582E+23</v>
      </c>
      <c r="D9">
        <v>7492940.8814563444</v>
      </c>
      <c r="E9">
        <v>8.5136012401282288E+16</v>
      </c>
      <c r="F9">
        <f t="shared" si="0"/>
        <v>6.3791910780574239E+23</v>
      </c>
    </row>
    <row r="10" spans="1:6" x14ac:dyDescent="0.25">
      <c r="A10" t="s">
        <v>12</v>
      </c>
      <c r="B10">
        <v>9.831532867640984E+16</v>
      </c>
      <c r="C10">
        <v>1.200748845507542E+24</v>
      </c>
      <c r="D10">
        <v>12213241.431146789</v>
      </c>
      <c r="E10">
        <v>9.831532867640984E+16</v>
      </c>
      <c r="F10">
        <f t="shared" si="0"/>
        <v>1.2007488455075427E+24</v>
      </c>
    </row>
    <row r="11" spans="1:6" x14ac:dyDescent="0.25">
      <c r="A11" t="s">
        <v>13</v>
      </c>
      <c r="B11">
        <v>9.7624974260697472E+16</v>
      </c>
      <c r="C11">
        <v>6.3135341292384631E+23</v>
      </c>
      <c r="D11">
        <v>6467130.1345276861</v>
      </c>
      <c r="E11">
        <v>9.7637103414883072E+16</v>
      </c>
      <c r="F11">
        <f t="shared" si="0"/>
        <v>6.3143185374238632E+23</v>
      </c>
    </row>
    <row r="12" spans="1:6" x14ac:dyDescent="0.25">
      <c r="A12" t="s">
        <v>14</v>
      </c>
      <c r="B12">
        <v>9.530807071650264E+16</v>
      </c>
      <c r="C12">
        <v>6.9128380329750863E+23</v>
      </c>
      <c r="D12">
        <v>7253150.7363501014</v>
      </c>
      <c r="E12">
        <v>9.6085618216996032E+16</v>
      </c>
      <c r="F12">
        <f t="shared" si="0"/>
        <v>6.9692347252325951E+23</v>
      </c>
    </row>
    <row r="13" spans="1:6" x14ac:dyDescent="0.25">
      <c r="A13" t="s">
        <v>15</v>
      </c>
      <c r="B13">
        <v>9.3995701884305488E+16</v>
      </c>
      <c r="C13">
        <v>4.3475246096016561E+23</v>
      </c>
      <c r="D13">
        <v>4625237.6677316613</v>
      </c>
      <c r="E13">
        <v>9.3995701884305488E+16</v>
      </c>
      <c r="F13">
        <f t="shared" si="0"/>
        <v>4.3475246096016561E+23</v>
      </c>
    </row>
    <row r="14" spans="1:6" x14ac:dyDescent="0.25">
      <c r="A14" t="s">
        <v>16</v>
      </c>
      <c r="B14">
        <v>9.66847035757388E+16</v>
      </c>
      <c r="C14">
        <v>4.3384105191578622E+23</v>
      </c>
      <c r="D14">
        <v>4487173.6259286664</v>
      </c>
      <c r="E14">
        <v>9.66847035757388E+16</v>
      </c>
      <c r="F14">
        <f t="shared" si="0"/>
        <v>4.3384105191578615E+23</v>
      </c>
    </row>
    <row r="15" spans="1:6" s="2" customFormat="1" x14ac:dyDescent="0.25">
      <c r="A15" s="2" t="s">
        <v>18</v>
      </c>
      <c r="B15" s="2">
        <f>AVERAGE(B2:B14)</f>
        <v>9.7019935714226608E+16</v>
      </c>
      <c r="C15" s="2">
        <f t="shared" ref="C15:F15" si="1">AVERAGE(C2:C14)</f>
        <v>7.7711184992294152E+23</v>
      </c>
      <c r="D15" s="2">
        <f t="shared" si="1"/>
        <v>7994963.727654608</v>
      </c>
      <c r="E15" s="2">
        <f t="shared" si="1"/>
        <v>9.755661056806104E+16</v>
      </c>
      <c r="F15" s="2">
        <f t="shared" si="1"/>
        <v>7.8161718524682517E+23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OHC diffs Globally</vt:lpstr>
      <vt:lpstr>OHC diffs 0-700 m depth</vt:lpstr>
      <vt:lpstr>OHC diffs 400-700 m depth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Grosvenor, Harry</cp:lastModifiedBy>
  <dcterms:created xsi:type="dcterms:W3CDTF">2025-03-19T10:31:24Z</dcterms:created>
  <dcterms:modified xsi:type="dcterms:W3CDTF">2025-10-03T10:46:48Z</dcterms:modified>
</cp:coreProperties>
</file>