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arry\01.HarryGrosvenor\02.Research\05.Local_Repos\202404_01.PlioMIP2_ThetaO\Data\01.thetao\01.OneTime\"/>
    </mc:Choice>
  </mc:AlternateContent>
  <xr:revisionPtr revIDLastSave="0" documentId="13_ncr:1_{C857FC6E-D597-4FA1-A5F8-EF29A2D5451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HC diffs Globally" sheetId="1" r:id="rId1"/>
    <sheet name="OHC diffs 0-200 m depth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3" l="1"/>
  <c r="F3" i="3"/>
  <c r="F4" i="3"/>
  <c r="F5" i="3"/>
  <c r="F6" i="3"/>
  <c r="F7" i="3"/>
  <c r="F8" i="3"/>
  <c r="F9" i="3"/>
  <c r="F10" i="3"/>
  <c r="F11" i="3"/>
  <c r="F12" i="3"/>
  <c r="F13" i="3"/>
  <c r="F14" i="3"/>
  <c r="F2" i="3"/>
  <c r="C15" i="3"/>
  <c r="D15" i="3"/>
  <c r="E15" i="3"/>
  <c r="B15" i="3"/>
  <c r="F3" i="1"/>
  <c r="F4" i="1"/>
  <c r="F5" i="1"/>
  <c r="F6" i="1"/>
  <c r="F7" i="1"/>
  <c r="F8" i="1"/>
  <c r="F9" i="1"/>
  <c r="F10" i="1"/>
  <c r="F11" i="1"/>
  <c r="F12" i="1"/>
  <c r="F13" i="1"/>
  <c r="F14" i="1"/>
  <c r="C15" i="1"/>
  <c r="D15" i="1"/>
  <c r="E15" i="1"/>
  <c r="B15" i="1"/>
  <c r="F2" i="1"/>
  <c r="F15" i="1" l="1"/>
  <c r="F15" i="3"/>
  <c r="F17" i="3" s="1"/>
</calcChain>
</file>

<file path=xl/sharedStrings.xml><?xml version="1.0" encoding="utf-8"?>
<sst xmlns="http://schemas.openxmlformats.org/spreadsheetml/2006/main" count="42" uniqueCount="23">
  <si>
    <t>Model</t>
  </si>
  <si>
    <t>Ocean volume (m^3)</t>
  </si>
  <si>
    <t>OHC Difference (J)</t>
  </si>
  <si>
    <t>OHC Difference (J/m3)</t>
  </si>
  <si>
    <t>CCSM4</t>
  </si>
  <si>
    <t>CCSM4-Utrecht</t>
  </si>
  <si>
    <t>CESM1.2</t>
  </si>
  <si>
    <t>CESM2</t>
  </si>
  <si>
    <t>COSMOS</t>
  </si>
  <si>
    <t>EC-Earth3-LR</t>
  </si>
  <si>
    <t>GISS-E2-1-G</t>
  </si>
  <si>
    <t>HadCM3</t>
  </si>
  <si>
    <t>HadGEM3</t>
  </si>
  <si>
    <t>IPSL-CM6A-LR</t>
  </si>
  <si>
    <t>MIROC4M</t>
  </si>
  <si>
    <t>NorESM-L</t>
  </si>
  <si>
    <t>NorESM1-F</t>
  </si>
  <si>
    <t>pi Ocean volume (m^3)</t>
  </si>
  <si>
    <t>pi Ocean Volume (m^3)</t>
  </si>
  <si>
    <t>OHC diff in pi Ocean (J)</t>
  </si>
  <si>
    <t>MME</t>
  </si>
  <si>
    <t>STD</t>
  </si>
  <si>
    <t>RSD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</si>
</sst>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11" fontId="0" fillId="0" borderId="0" xfId="0" applyNumberFormat="1"/>
    <xf numFmtId="11" fontId="1" fillId="0" borderId="0" xfId="0" applyNumberFormat="1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>
      <selection activeCell="C2" sqref="C2"/>
    </sheetView>
  </sheetViews>
  <sheetFormatPr defaultRowHeight="15" x14ac:dyDescent="0.25"/>
  <cols>
    <col min="1" max="1" width="14.42578125" bestFit="1" customWidth="1"/>
    <col min="2" max="2" width="19.5703125" bestFit="1" customWidth="1"/>
    <col min="3" max="3" width="17.5703125" bestFit="1" customWidth="1"/>
    <col min="4" max="4" width="21.140625" bestFit="1" customWidth="1"/>
    <col min="5" max="5" width="21.85546875" bestFit="1" customWidth="1"/>
    <col min="6" max="6" width="21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19</v>
      </c>
    </row>
    <row r="2" spans="1:6" x14ac:dyDescent="0.25">
      <c r="A2" t="s">
        <v>4</v>
      </c>
      <c r="B2" s="1">
        <v>4.5401288942193178E+17</v>
      </c>
      <c r="C2">
        <v>2.3471319213127569E+24</v>
      </c>
      <c r="D2">
        <v>5169747.3265598761</v>
      </c>
      <c r="E2">
        <v>4.5934790862736358E+17</v>
      </c>
      <c r="F2" s="1">
        <f>D2*E2</f>
        <v>2.3747126225871831E+24</v>
      </c>
    </row>
    <row r="3" spans="1:6" x14ac:dyDescent="0.25">
      <c r="A3" t="s">
        <v>5</v>
      </c>
      <c r="B3" s="1">
        <v>1.179072473159403E+17</v>
      </c>
      <c r="C3">
        <v>1.38412675235346E+24</v>
      </c>
      <c r="D3">
        <v>11739115.142299941</v>
      </c>
      <c r="E3">
        <v>1.191775382740691E+17</v>
      </c>
      <c r="F3" s="1">
        <f t="shared" ref="F3:F14" si="0">D3*E3</f>
        <v>1.3990388441751554E+24</v>
      </c>
    </row>
    <row r="4" spans="1:6" x14ac:dyDescent="0.25">
      <c r="A4" t="s">
        <v>6</v>
      </c>
      <c r="B4" s="1">
        <v>4.5401288942193178E+17</v>
      </c>
      <c r="C4">
        <v>4.0006166507693782E+24</v>
      </c>
      <c r="D4">
        <v>8811680.7781892065</v>
      </c>
      <c r="E4">
        <v>4.5934790862736358E+17</v>
      </c>
      <c r="F4" s="1">
        <f t="shared" si="0"/>
        <v>4.0476271369531519E+24</v>
      </c>
    </row>
    <row r="5" spans="1:6" x14ac:dyDescent="0.25">
      <c r="A5" t="s">
        <v>7</v>
      </c>
      <c r="B5" s="1">
        <v>4.5396836716803917E+17</v>
      </c>
      <c r="C5">
        <v>4.3275538950699568E+24</v>
      </c>
      <c r="D5">
        <v>9532721.2379713822</v>
      </c>
      <c r="E5">
        <v>4.5934791384602522E+17</v>
      </c>
      <c r="F5" s="1">
        <f t="shared" si="0"/>
        <v>4.3788356139378532E+24</v>
      </c>
    </row>
    <row r="6" spans="1:6" x14ac:dyDescent="0.25">
      <c r="A6" t="s">
        <v>8</v>
      </c>
      <c r="B6" s="1">
        <v>4.5764887456093978E+17</v>
      </c>
      <c r="C6">
        <v>2.8359308620755181E+24</v>
      </c>
      <c r="D6">
        <v>6196739.5086380569</v>
      </c>
      <c r="E6">
        <v>4.7632457058604762E+17</v>
      </c>
      <c r="F6" s="1">
        <f t="shared" si="0"/>
        <v>2.951659285485618E+24</v>
      </c>
    </row>
    <row r="7" spans="1:6" x14ac:dyDescent="0.25">
      <c r="A7" t="s">
        <v>9</v>
      </c>
      <c r="B7" s="1">
        <v>4.5838808429765363E+17</v>
      </c>
      <c r="C7">
        <v>2.9422958820046432E+24</v>
      </c>
      <c r="D7">
        <v>6418787.8847524049</v>
      </c>
      <c r="E7">
        <v>4.8101181751481293E+17</v>
      </c>
      <c r="F7" s="1">
        <f t="shared" si="0"/>
        <v>3.0875128266868158E+24</v>
      </c>
    </row>
    <row r="8" spans="1:6" x14ac:dyDescent="0.25">
      <c r="A8" t="s">
        <v>10</v>
      </c>
      <c r="B8" s="1">
        <v>4.3113144779853978E+17</v>
      </c>
      <c r="C8">
        <v>1.8970102342458881E+24</v>
      </c>
      <c r="D8">
        <v>4400073.9076967714</v>
      </c>
      <c r="E8">
        <v>4.4586629068297658E+17</v>
      </c>
      <c r="F8" s="1">
        <f t="shared" si="0"/>
        <v>1.9618446319557092E+24</v>
      </c>
    </row>
    <row r="9" spans="1:6" x14ac:dyDescent="0.25">
      <c r="A9" t="s">
        <v>11</v>
      </c>
      <c r="B9" s="1">
        <v>4.8023830110283238E+17</v>
      </c>
      <c r="C9">
        <v>3.7757956399244671E+24</v>
      </c>
      <c r="D9">
        <v>7862337.5754362494</v>
      </c>
      <c r="E9">
        <v>4.9643138057548288E+17</v>
      </c>
      <c r="F9" s="1">
        <f t="shared" si="0"/>
        <v>3.9031110971243122E+24</v>
      </c>
    </row>
    <row r="10" spans="1:6" x14ac:dyDescent="0.25">
      <c r="A10" t="s">
        <v>12</v>
      </c>
      <c r="B10" s="1">
        <v>4.6317149345528051E+17</v>
      </c>
      <c r="C10">
        <v>2.3029519621034831E+24</v>
      </c>
      <c r="D10">
        <v>4972136.659195832</v>
      </c>
      <c r="E10">
        <v>4.6317149345528051E+17</v>
      </c>
      <c r="F10" s="1">
        <f t="shared" si="0"/>
        <v>2.3029519621034825E+24</v>
      </c>
    </row>
    <row r="11" spans="1:6" x14ac:dyDescent="0.25">
      <c r="A11" t="s">
        <v>13</v>
      </c>
      <c r="B11" s="1">
        <v>4.780951435476992E+17</v>
      </c>
      <c r="C11">
        <v>3.1729786318058251E+24</v>
      </c>
      <c r="D11">
        <v>6636709.6060854662</v>
      </c>
      <c r="E11">
        <v>4.780951435476992E+17</v>
      </c>
      <c r="F11" s="1">
        <f t="shared" si="0"/>
        <v>3.1729786318058251E+24</v>
      </c>
    </row>
    <row r="12" spans="1:6" x14ac:dyDescent="0.25">
      <c r="A12" t="s">
        <v>14</v>
      </c>
      <c r="B12" s="1">
        <v>4.3311913933772531E+17</v>
      </c>
      <c r="C12">
        <v>2.5147337164010919E+24</v>
      </c>
      <c r="D12">
        <v>5806101.5734523451</v>
      </c>
      <c r="E12">
        <v>4.4947900523551731E+17</v>
      </c>
      <c r="F12" s="1">
        <f t="shared" si="0"/>
        <v>2.6097207595317317E+24</v>
      </c>
    </row>
    <row r="13" spans="1:6" x14ac:dyDescent="0.25">
      <c r="A13" t="s">
        <v>15</v>
      </c>
      <c r="B13" s="1">
        <v>4.0329990498595712E+17</v>
      </c>
      <c r="C13">
        <v>1.1791051183245759E+24</v>
      </c>
      <c r="D13">
        <v>2923643.4319656799</v>
      </c>
      <c r="E13">
        <v>4.0334128707645312E+17</v>
      </c>
      <c r="F13" s="1">
        <f t="shared" si="0"/>
        <v>1.1792261048016559E+24</v>
      </c>
    </row>
    <row r="14" spans="1:6" x14ac:dyDescent="0.25">
      <c r="A14" t="s">
        <v>16</v>
      </c>
      <c r="B14" s="1">
        <v>4.3018073870197632E+17</v>
      </c>
      <c r="C14">
        <v>2.1671091111556461E+24</v>
      </c>
      <c r="D14">
        <v>5037671.1837323587</v>
      </c>
      <c r="E14">
        <v>4.3018073870197632E+17</v>
      </c>
      <c r="F14" s="1">
        <f t="shared" si="0"/>
        <v>2.1671091111556455E+24</v>
      </c>
    </row>
    <row r="15" spans="1:6" x14ac:dyDescent="0.25">
      <c r="A15" s="2" t="s">
        <v>20</v>
      </c>
      <c r="B15" s="3">
        <f xml:space="preserve"> AVERAGE(B2:B14)</f>
        <v>4.2424419393203443E+17</v>
      </c>
      <c r="C15" s="3">
        <f t="shared" ref="C15:F15" si="1" xml:space="preserve"> AVERAGE(C2:C14)</f>
        <v>2.6805646444266684E+24</v>
      </c>
      <c r="D15" s="3">
        <f t="shared" si="1"/>
        <v>6577497.370459659</v>
      </c>
      <c r="E15" s="3">
        <f t="shared" si="1"/>
        <v>4.323940766731591E+17</v>
      </c>
      <c r="F15" s="3">
        <f t="shared" si="1"/>
        <v>2.7335637406387803E+24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E472E-18AD-48F8-BA27-BE8529A5A4F8}">
  <dimension ref="A1:F17"/>
  <sheetViews>
    <sheetView tabSelected="1" workbookViewId="0">
      <selection activeCell="J18" sqref="J18"/>
    </sheetView>
  </sheetViews>
  <sheetFormatPr defaultRowHeight="15" x14ac:dyDescent="0.25"/>
  <cols>
    <col min="1" max="1" width="14.42578125" bestFit="1" customWidth="1"/>
    <col min="2" max="2" width="19.5703125" customWidth="1"/>
    <col min="3" max="3" width="17.5703125" customWidth="1"/>
    <col min="4" max="4" width="21.140625" customWidth="1"/>
    <col min="5" max="5" width="22.140625" customWidth="1"/>
    <col min="6" max="6" width="21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18</v>
      </c>
      <c r="F1" t="s">
        <v>19</v>
      </c>
    </row>
    <row r="2" spans="1:6" x14ac:dyDescent="0.25">
      <c r="A2" t="s">
        <v>4</v>
      </c>
      <c r="B2">
        <v>2.348209572358142E+16</v>
      </c>
      <c r="C2">
        <v>1.452914061387673E+23</v>
      </c>
      <c r="D2">
        <v>6187327.0533030555</v>
      </c>
      <c r="E2">
        <v>2.370468812972788E+16</v>
      </c>
      <c r="F2" s="4">
        <f>D2*E2</f>
        <v>1.4666865815517713E+23</v>
      </c>
    </row>
    <row r="3" spans="1:6" x14ac:dyDescent="0.25">
      <c r="A3" t="s">
        <v>5</v>
      </c>
      <c r="B3">
        <v>2.3278809615704432E+16</v>
      </c>
      <c r="C3">
        <v>2.247566354871508E+23</v>
      </c>
      <c r="D3">
        <v>9654988.3433697876</v>
      </c>
      <c r="E3">
        <v>2.357572333681148E+16</v>
      </c>
      <c r="F3" s="4">
        <f t="shared" ref="F3:F14" si="0">D3*E3</f>
        <v>2.2762333400342592E+23</v>
      </c>
    </row>
    <row r="4" spans="1:6" x14ac:dyDescent="0.25">
      <c r="A4" t="s">
        <v>6</v>
      </c>
      <c r="B4">
        <v>2.348209572358142E+16</v>
      </c>
      <c r="C4">
        <v>2.3072348636902151E+23</v>
      </c>
      <c r="D4">
        <v>9825506.5938310642</v>
      </c>
      <c r="E4">
        <v>2.370468812972788E+16</v>
      </c>
      <c r="F4" s="4">
        <f t="shared" si="0"/>
        <v>2.3291056952335023E+23</v>
      </c>
    </row>
    <row r="5" spans="1:6" x14ac:dyDescent="0.25">
      <c r="A5" t="s">
        <v>7</v>
      </c>
      <c r="B5">
        <v>2.3458832373743048E+16</v>
      </c>
      <c r="C5">
        <v>2.3495124783135641E+23</v>
      </c>
      <c r="D5">
        <v>10015470.68021732</v>
      </c>
      <c r="E5">
        <v>2.37046883580827E+16</v>
      </c>
      <c r="F5" s="4">
        <f t="shared" si="0"/>
        <v>2.3741361123406612E+23</v>
      </c>
    </row>
    <row r="6" spans="1:6" x14ac:dyDescent="0.25">
      <c r="A6" t="s">
        <v>8</v>
      </c>
      <c r="B6">
        <v>2.290770550481484E+16</v>
      </c>
      <c r="C6">
        <v>1.890392734644387E+23</v>
      </c>
      <c r="D6">
        <v>8252213.36221149</v>
      </c>
      <c r="E6">
        <v>2.3419661478616608E+16</v>
      </c>
      <c r="F6" s="4">
        <f t="shared" si="0"/>
        <v>1.9326404339230968E+23</v>
      </c>
    </row>
    <row r="7" spans="1:6" x14ac:dyDescent="0.25">
      <c r="A7" t="s">
        <v>9</v>
      </c>
      <c r="B7">
        <v>2.3467774547043368E+16</v>
      </c>
      <c r="C7">
        <v>2.5700001971308041E+23</v>
      </c>
      <c r="D7">
        <v>10951188.37101062</v>
      </c>
      <c r="E7">
        <v>2.37734441843112E+16</v>
      </c>
      <c r="F7" s="4">
        <f t="shared" si="0"/>
        <v>2.6034746549009886E+23</v>
      </c>
    </row>
    <row r="8" spans="1:6" x14ac:dyDescent="0.25">
      <c r="A8" t="s">
        <v>10</v>
      </c>
      <c r="B8">
        <v>2.289713321545254E+16</v>
      </c>
      <c r="C8">
        <v>6.8626651622374772E+22</v>
      </c>
      <c r="D8">
        <v>2997172.2213705271</v>
      </c>
      <c r="E8">
        <v>2.3144372253602272E+16</v>
      </c>
      <c r="F8" s="4">
        <f t="shared" si="0"/>
        <v>6.9367669599555511E+22</v>
      </c>
    </row>
    <row r="9" spans="1:6" x14ac:dyDescent="0.25">
      <c r="A9" t="s">
        <v>11</v>
      </c>
      <c r="B9">
        <v>2.262869372579678E+16</v>
      </c>
      <c r="C9">
        <v>1.4038984755215E+23</v>
      </c>
      <c r="D9">
        <v>6204063.2682259148</v>
      </c>
      <c r="E9">
        <v>2.3201987029137528E+16</v>
      </c>
      <c r="F9" s="4">
        <f t="shared" si="0"/>
        <v>1.4394659547732625E+23</v>
      </c>
    </row>
    <row r="10" spans="1:6" x14ac:dyDescent="0.25">
      <c r="A10" t="s">
        <v>12</v>
      </c>
      <c r="B10">
        <v>2.309073396826742E+16</v>
      </c>
      <c r="C10">
        <v>3.005440714130333E+23</v>
      </c>
      <c r="D10">
        <v>13015786.844457081</v>
      </c>
      <c r="E10">
        <v>2.309073396826742E+16</v>
      </c>
      <c r="F10" s="4">
        <f t="shared" si="0"/>
        <v>3.0054407141303333E+23</v>
      </c>
    </row>
    <row r="11" spans="1:6" x14ac:dyDescent="0.25">
      <c r="A11" t="s">
        <v>13</v>
      </c>
      <c r="B11">
        <v>2.3581696957694208E+16</v>
      </c>
      <c r="C11">
        <v>1.335247755268873E+23</v>
      </c>
      <c r="D11">
        <v>5662220.8217853028</v>
      </c>
      <c r="E11">
        <v>2.3581696957694208E+16</v>
      </c>
      <c r="F11" s="4">
        <f t="shared" si="0"/>
        <v>1.3352477552688728E+23</v>
      </c>
    </row>
    <row r="12" spans="1:6" x14ac:dyDescent="0.25">
      <c r="A12" t="s">
        <v>14</v>
      </c>
      <c r="B12">
        <v>2.2413962005445088E+16</v>
      </c>
      <c r="C12">
        <v>1.429747825395873E+23</v>
      </c>
      <c r="D12">
        <v>6378826.8448413555</v>
      </c>
      <c r="E12">
        <v>2.27824930725553E+16</v>
      </c>
      <c r="F12" s="4">
        <f t="shared" si="0"/>
        <v>1.4532557840362796E+23</v>
      </c>
    </row>
    <row r="13" spans="1:6" x14ac:dyDescent="0.25">
      <c r="A13" t="s">
        <v>15</v>
      </c>
      <c r="B13">
        <v>2.1732178713115392E+16</v>
      </c>
      <c r="C13">
        <v>1.0616900016375849E+23</v>
      </c>
      <c r="D13">
        <v>4885336.2364301477</v>
      </c>
      <c r="E13">
        <v>2.1732178713115392E+16</v>
      </c>
      <c r="F13" s="4">
        <f t="shared" si="0"/>
        <v>1.0616900016375853E+23</v>
      </c>
    </row>
    <row r="14" spans="1:6" x14ac:dyDescent="0.25">
      <c r="A14" t="s">
        <v>16</v>
      </c>
      <c r="B14">
        <v>2.255538112333798E+16</v>
      </c>
      <c r="C14">
        <v>9.6764379190576519E+22</v>
      </c>
      <c r="D14">
        <v>4290079.5451624943</v>
      </c>
      <c r="E14">
        <v>2.255538112333798E+16</v>
      </c>
      <c r="F14" s="4">
        <f t="shared" si="0"/>
        <v>9.6764379190576519E+22</v>
      </c>
    </row>
    <row r="15" spans="1:6" x14ac:dyDescent="0.25">
      <c r="A15" s="2" t="s">
        <v>20</v>
      </c>
      <c r="B15" s="3">
        <f>AVERAGE(B2:B14)</f>
        <v>2.2998237938275224E+16</v>
      </c>
      <c r="C15" s="5">
        <f t="shared" ref="C15:F15" si="1">AVERAGE(C2:C14)</f>
        <v>1.7467350592401406E+23</v>
      </c>
      <c r="D15" s="3">
        <f t="shared" si="1"/>
        <v>7563090.7835550895</v>
      </c>
      <c r="E15" s="3">
        <f t="shared" si="1"/>
        <v>2.3228595133460604E+16</v>
      </c>
      <c r="F15" s="5">
        <f t="shared" si="1"/>
        <v>1.764515193517841E+23</v>
      </c>
    </row>
    <row r="16" spans="1:6" x14ac:dyDescent="0.25">
      <c r="A16" s="2" t="s">
        <v>21</v>
      </c>
      <c r="F16" s="5">
        <f>_xlfn.STDEV.P(F2:F14)</f>
        <v>6.7797464184773537E+22</v>
      </c>
    </row>
    <row r="17" spans="1:6" x14ac:dyDescent="0.25">
      <c r="A17" s="2" t="s">
        <v>22</v>
      </c>
      <c r="F17" s="6">
        <f>F16/F15</f>
        <v>0.38422714881592224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OHC diffs Globally</vt:lpstr>
      <vt:lpstr>OHC diffs 0-200 m depth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Grosvenor, Harry</cp:lastModifiedBy>
  <dcterms:created xsi:type="dcterms:W3CDTF">2025-03-19T14:09:20Z</dcterms:created>
  <dcterms:modified xsi:type="dcterms:W3CDTF">2025-10-03T10:37:02Z</dcterms:modified>
</cp:coreProperties>
</file>