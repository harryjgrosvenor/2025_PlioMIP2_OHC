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rry\01.HarryGrosvenor\02.Research\05.Local_Repos\202404_01.PlioMIP2_ThetaO\Data\01.thetao\03.Futures\"/>
    </mc:Choice>
  </mc:AlternateContent>
  <xr:revisionPtr revIDLastSave="0" documentId="13_ncr:1_{B3366D5C-76DB-4AF2-8757-1E39AD143EF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HC Globally" sheetId="1" r:id="rId1"/>
    <sheet name="OHC 0-700 m dept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" i="1" l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C7" i="2"/>
  <c r="B7" i="2"/>
</calcChain>
</file>

<file path=xl/sharedStrings.xml><?xml version="1.0" encoding="utf-8"?>
<sst xmlns="http://schemas.openxmlformats.org/spreadsheetml/2006/main" count="56" uniqueCount="48">
  <si>
    <t>Model</t>
  </si>
  <si>
    <t>Ocean volume (m^3)</t>
  </si>
  <si>
    <t>historical 1851_1900 global OHC (J)</t>
  </si>
  <si>
    <t>historical 1851_1900 global OHC (J/m^3)</t>
  </si>
  <si>
    <t>ssp126 2021_2040 global OHC (J)</t>
  </si>
  <si>
    <t>ssp126 2021_2040 global OHC (J/m^3)</t>
  </si>
  <si>
    <t>ssp126 2041_2060 global OHC (J)</t>
  </si>
  <si>
    <t>ssp126 2041_2060 global OHC (J/m^3)</t>
  </si>
  <si>
    <t>ssp126 2081_2100 global OHC (J)</t>
  </si>
  <si>
    <t>ssp126 2081_2100 global OHC (J/m^3)</t>
  </si>
  <si>
    <t>ssp245 2021_2040 global OHC (J)</t>
  </si>
  <si>
    <t>ssp245 2021_2040 global OHC (J/m^3)</t>
  </si>
  <si>
    <t>ssp245 2041_2060 global OHC (J)</t>
  </si>
  <si>
    <t>ssp245 2041_2060 global OHC (J/m^3)</t>
  </si>
  <si>
    <t>ssp245 2081_2100 global OHC (J)</t>
  </si>
  <si>
    <t>ssp245 2081_2100 global OHC (J/m^3)</t>
  </si>
  <si>
    <t>ssp585 2021_2040 global OHC (J)</t>
  </si>
  <si>
    <t>ssp585 2021_2040 global OHC (J/m^3)</t>
  </si>
  <si>
    <t>ssp585 2041_2060 global OHC (J)</t>
  </si>
  <si>
    <t>ssp585 2041_2060 global OHC (J/m^3)</t>
  </si>
  <si>
    <t>ssp585 2081_2100 global OHC (J)</t>
  </si>
  <si>
    <t>ssp585 2081_2100 global OHC (J/m^3)</t>
  </si>
  <si>
    <t>CESM2</t>
  </si>
  <si>
    <t>EC-Earth3-LR</t>
  </si>
  <si>
    <t>GISS-E2-1-G</t>
  </si>
  <si>
    <t>HadGEM3</t>
  </si>
  <si>
    <t>IPSL-CM6A-LR</t>
  </si>
  <si>
    <t>historical 1851_1900 tarz OHC (J)</t>
  </si>
  <si>
    <t>historical 1851_1900 tarz OHC (J/m^3)</t>
  </si>
  <si>
    <t>ssp126 2021_2040 tarz OHC (J)</t>
  </si>
  <si>
    <t>ssp126 2021_2040 tarz OHC (J/m^3)</t>
  </si>
  <si>
    <t>ssp126 2041_2060 tarz OHC (J)</t>
  </si>
  <si>
    <t>ssp126 2041_2060 tarz OHC (J/m^3)</t>
  </si>
  <si>
    <t>ssp126 2081_2100 tarz OHC (J)</t>
  </si>
  <si>
    <t>ssp126 2081_2100 tarz OHC (J/m^3)</t>
  </si>
  <si>
    <t>ssp245 2021_2040 tarz OHC (J)</t>
  </si>
  <si>
    <t>ssp245 2021_2040 tarz OHC (J/m^3)</t>
  </si>
  <si>
    <t>ssp245 2041_2060 tarz OHC (J)</t>
  </si>
  <si>
    <t>ssp245 2041_2060 tarz OHC (J/m^3)</t>
  </si>
  <si>
    <t>ssp245 2081_2100 tarz OHC (J)</t>
  </si>
  <si>
    <t>ssp245 2081_2100 tarz OHC (J/m^3)</t>
  </si>
  <si>
    <t>ssp585 2021_2040 tarz OHC (J)</t>
  </si>
  <si>
    <t>ssp585 2021_2040 tarz OHC (J/m^3)</t>
  </si>
  <si>
    <t>ssp585 2041_2060 tarz OHC (J)</t>
  </si>
  <si>
    <t>ssp585 2041_2060 tarz OHC (J/m^3)</t>
  </si>
  <si>
    <t>ssp585 2081_2100 tarz OHC (J)</t>
  </si>
  <si>
    <t>ssp585 2081_2100 tarz OHC (J/m^3)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</si>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</sst>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workbookViewId="0">
      <selection activeCell="A7" sqref="A7"/>
    </sheetView>
  </sheetViews>
  <sheetFormatPr defaultRowHeight="15" x14ac:dyDescent="0.25"/>
  <cols>
    <col min="2" max="2" width="19.5703125" bestFit="1" customWidth="1"/>
    <col min="3" max="3" width="32" bestFit="1" customWidth="1"/>
    <col min="4" max="4" width="36.7109375" bestFit="1" customWidth="1"/>
    <col min="5" max="5" width="29.7109375" bestFit="1" customWidth="1"/>
    <col min="6" max="6" width="34.42578125" bestFit="1" customWidth="1"/>
    <col min="7" max="7" width="29.7109375" bestFit="1" customWidth="1"/>
    <col min="8" max="8" width="34.42578125" bestFit="1" customWidth="1"/>
    <col min="9" max="9" width="29.7109375" bestFit="1" customWidth="1"/>
    <col min="10" max="10" width="34.42578125" bestFit="1" customWidth="1"/>
    <col min="11" max="11" width="29.7109375" bestFit="1" customWidth="1"/>
    <col min="12" max="12" width="34.42578125" bestFit="1" customWidth="1"/>
    <col min="13" max="13" width="29.7109375" bestFit="1" customWidth="1"/>
    <col min="14" max="14" width="34.42578125" bestFit="1" customWidth="1"/>
    <col min="15" max="15" width="29.7109375" bestFit="1" customWidth="1"/>
    <col min="16" max="16" width="34.42578125" bestFit="1" customWidth="1"/>
    <col min="17" max="17" width="29.7109375" bestFit="1" customWidth="1"/>
    <col min="18" max="18" width="34.42578125" bestFit="1" customWidth="1"/>
    <col min="19" max="19" width="29.7109375" bestFit="1" customWidth="1"/>
    <col min="20" max="20" width="34.42578125" bestFit="1" customWidth="1"/>
    <col min="21" max="21" width="29.7109375" bestFit="1" customWidth="1"/>
    <col min="22" max="22" width="34.42578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>
        <v>1.325300738586313E+18</v>
      </c>
      <c r="C2">
        <v>1.5069129000678551E+27</v>
      </c>
      <c r="D2">
        <v>1137034624</v>
      </c>
      <c r="E2">
        <v>1.507520904752524E+27</v>
      </c>
      <c r="F2">
        <v>1137493504</v>
      </c>
      <c r="G2">
        <v>1.5079401623518321E+27</v>
      </c>
      <c r="H2">
        <v>1137809792</v>
      </c>
      <c r="I2">
        <v>1.5087811863076401E+27</v>
      </c>
      <c r="J2">
        <v>1138444416</v>
      </c>
      <c r="K2">
        <v>1.5074975880680151E+27</v>
      </c>
      <c r="L2">
        <v>1137475840</v>
      </c>
      <c r="M2">
        <v>1.507922453477521E+27</v>
      </c>
      <c r="N2">
        <v>1137796480</v>
      </c>
      <c r="O2">
        <v>1.509029110547991E+27</v>
      </c>
      <c r="P2">
        <v>1138631424</v>
      </c>
      <c r="Q2">
        <v>1.507532415520826E+27</v>
      </c>
      <c r="R2">
        <v>1137502080</v>
      </c>
      <c r="S2">
        <v>1.508064419619912E+27</v>
      </c>
      <c r="T2">
        <v>1137903616</v>
      </c>
      <c r="U2">
        <v>1.509798413562841E+27</v>
      </c>
      <c r="V2">
        <v>1139211904</v>
      </c>
    </row>
    <row r="3" spans="1:22" x14ac:dyDescent="0.25">
      <c r="A3" t="s">
        <v>23</v>
      </c>
      <c r="B3">
        <v>1.3694044401656599E+18</v>
      </c>
      <c r="C3">
        <v>1.557387826971739E+27</v>
      </c>
      <c r="D3">
        <v>1137273825.9730921</v>
      </c>
      <c r="E3">
        <v>1.5581062220627239E+27</v>
      </c>
      <c r="F3">
        <v>1137798430.0052631</v>
      </c>
      <c r="G3">
        <v>1.5584302641455791E+27</v>
      </c>
      <c r="H3">
        <v>1138035059.939672</v>
      </c>
      <c r="I3">
        <v>1.5589574519961071E+27</v>
      </c>
      <c r="J3">
        <v>1138420035.9446161</v>
      </c>
      <c r="K3">
        <v>1.55811630836584E+27</v>
      </c>
      <c r="L3">
        <v>1137805795.472192</v>
      </c>
      <c r="M3">
        <v>1.5584770816858801E+27</v>
      </c>
      <c r="N3">
        <v>1138069248.188904</v>
      </c>
      <c r="O3">
        <v>1.5593312837037869E+27</v>
      </c>
      <c r="P3">
        <v>1138693024.4765029</v>
      </c>
      <c r="Q3">
        <v>1.5581090982357559E+27</v>
      </c>
      <c r="R3">
        <v>1137800530.3146739</v>
      </c>
      <c r="S3">
        <v>1.5585467626326739E+27</v>
      </c>
      <c r="T3">
        <v>1138120132.313967</v>
      </c>
      <c r="U3">
        <v>1.5599318046167909E+27</v>
      </c>
      <c r="V3">
        <v>1139131551.5437379</v>
      </c>
    </row>
    <row r="4" spans="1:22" x14ac:dyDescent="0.25">
      <c r="A4" t="s">
        <v>24</v>
      </c>
      <c r="B4">
        <v>1.3084477040113019E+18</v>
      </c>
      <c r="C4">
        <v>1.488980718103765E+27</v>
      </c>
      <c r="D4">
        <v>1137974955.773169</v>
      </c>
      <c r="E4">
        <v>1.4893948167540329E+27</v>
      </c>
      <c r="F4">
        <v>1138291436.6298349</v>
      </c>
      <c r="G4">
        <v>1.489719290123282E+27</v>
      </c>
      <c r="H4">
        <v>1138539420.0748391</v>
      </c>
      <c r="I4">
        <v>1.4903013536479601E+27</v>
      </c>
      <c r="J4">
        <v>1138984270.5055389</v>
      </c>
      <c r="K4">
        <v>1.4893720594182489E+27</v>
      </c>
      <c r="L4">
        <v>1138274044.0082459</v>
      </c>
      <c r="M4">
        <v>1.4897193025888261E+27</v>
      </c>
      <c r="N4">
        <v>1138539429.60181</v>
      </c>
      <c r="O4">
        <v>1.4905725641441861E+27</v>
      </c>
      <c r="P4">
        <v>1139191547.0328281</v>
      </c>
      <c r="Q4">
        <v>1.4893999283832141E+27</v>
      </c>
      <c r="R4">
        <v>1138295343.266046</v>
      </c>
      <c r="S4">
        <v>1.4898137254580059E+27</v>
      </c>
      <c r="T4">
        <v>1138611593.6393111</v>
      </c>
      <c r="U4">
        <v>1.4910604855481591E+27</v>
      </c>
      <c r="V4">
        <v>1139564447.9920919</v>
      </c>
    </row>
    <row r="5" spans="1:22" x14ac:dyDescent="0.25">
      <c r="A5" t="s">
        <v>25</v>
      </c>
      <c r="B5">
        <v>1.3621009879717051E+18</v>
      </c>
      <c r="C5">
        <v>1.547126244696875E+27</v>
      </c>
      <c r="D5">
        <v>1135838134.146492</v>
      </c>
      <c r="E5">
        <v>1.5478862431550959E+27</v>
      </c>
      <c r="F5">
        <v>1136396094.5803599</v>
      </c>
      <c r="G5">
        <v>1.548299517360712E+27</v>
      </c>
      <c r="H5">
        <v>1136699503.952548</v>
      </c>
      <c r="I5">
        <v>1.549051708079035E+27</v>
      </c>
      <c r="J5">
        <v>1137251732.256444</v>
      </c>
      <c r="K5">
        <v>1.5478799103887431E+27</v>
      </c>
      <c r="L5">
        <v>1136391445.3169</v>
      </c>
      <c r="M5">
        <v>1.5483456953979789E+27</v>
      </c>
      <c r="N5">
        <v>1136733406.0183091</v>
      </c>
      <c r="O5">
        <v>1.5494170962785799E+27</v>
      </c>
      <c r="P5">
        <v>1137519985.6405699</v>
      </c>
      <c r="Q5">
        <v>1.547913984364271E+27</v>
      </c>
      <c r="R5">
        <v>1136416461.065239</v>
      </c>
      <c r="S5">
        <v>1.5484538823854379E+27</v>
      </c>
      <c r="T5">
        <v>1136812832.57215</v>
      </c>
      <c r="U5">
        <v>1.5501064516909879E+27</v>
      </c>
      <c r="V5">
        <v>1138026082.7791049</v>
      </c>
    </row>
    <row r="6" spans="1:22" x14ac:dyDescent="0.25">
      <c r="A6" t="s">
        <v>26</v>
      </c>
      <c r="B6">
        <v>1.363615420279423E+18</v>
      </c>
      <c r="C6">
        <v>1.5440420638175599E+27</v>
      </c>
      <c r="D6">
        <v>1132314880</v>
      </c>
      <c r="E6">
        <v>1.5446230624689049E+27</v>
      </c>
      <c r="F6">
        <v>1132740992</v>
      </c>
      <c r="G6">
        <v>1.5449307541600549E+27</v>
      </c>
      <c r="H6">
        <v>1132966656</v>
      </c>
      <c r="I6">
        <v>1.5454119928194501E+27</v>
      </c>
      <c r="J6">
        <v>1133319552</v>
      </c>
      <c r="K6">
        <v>1.5446274896874831E+27</v>
      </c>
      <c r="L6">
        <v>1132744192</v>
      </c>
      <c r="M6">
        <v>1.54499258764619E+27</v>
      </c>
      <c r="N6">
        <v>1133011968</v>
      </c>
      <c r="O6">
        <v>1.5458098521956311E+27</v>
      </c>
      <c r="P6">
        <v>1133611264</v>
      </c>
      <c r="Q6">
        <v>1.5446382625860219E+27</v>
      </c>
      <c r="R6">
        <v>1132752128</v>
      </c>
      <c r="S6">
        <v>1.545069178527584E+27</v>
      </c>
      <c r="T6">
        <v>1133068160</v>
      </c>
      <c r="U6">
        <v>1.5464343851629911E+27</v>
      </c>
      <c r="V6">
        <v>1134069248</v>
      </c>
    </row>
    <row r="7" spans="1:22" x14ac:dyDescent="0.25">
      <c r="A7" s="1" t="s">
        <v>47</v>
      </c>
      <c r="B7" s="1">
        <f>AVERAGE(B2:B6)</f>
        <v>1.3457738582028805E+18</v>
      </c>
      <c r="C7" s="1">
        <f>AVERAGE(C2:C6)</f>
        <v>1.5288899507315588E+27</v>
      </c>
      <c r="D7" s="1">
        <f t="shared" ref="D7:V7" si="0">AVERAGE(D2:D6)</f>
        <v>1136087283.9785507</v>
      </c>
      <c r="E7" s="1">
        <f t="shared" si="0"/>
        <v>1.5295062498386562E+27</v>
      </c>
      <c r="F7" s="1">
        <f t="shared" si="0"/>
        <v>1136544091.4430916</v>
      </c>
      <c r="G7" s="1">
        <f t="shared" si="0"/>
        <v>1.529863997628292E+27</v>
      </c>
      <c r="H7" s="1">
        <f t="shared" si="0"/>
        <v>1136810086.3934119</v>
      </c>
      <c r="I7" s="1">
        <f t="shared" si="0"/>
        <v>1.5305007385700384E+27</v>
      </c>
      <c r="J7" s="1">
        <f t="shared" si="0"/>
        <v>1137284001.3413198</v>
      </c>
      <c r="K7" s="1">
        <f t="shared" si="0"/>
        <v>1.5294986711856662E+27</v>
      </c>
      <c r="L7" s="1">
        <f t="shared" si="0"/>
        <v>1136538263.3594675</v>
      </c>
      <c r="M7" s="1">
        <f t="shared" si="0"/>
        <v>1.5298914241592791E+27</v>
      </c>
      <c r="N7" s="1">
        <f t="shared" si="0"/>
        <v>1136830106.3618045</v>
      </c>
      <c r="O7" s="1">
        <f t="shared" si="0"/>
        <v>1.5308319813740349E+27</v>
      </c>
      <c r="P7" s="1">
        <f t="shared" si="0"/>
        <v>1137529449.0299802</v>
      </c>
      <c r="Q7" s="1">
        <f t="shared" si="0"/>
        <v>1.5295187378180178E+27</v>
      </c>
      <c r="R7" s="1">
        <f t="shared" si="0"/>
        <v>1136553308.5291917</v>
      </c>
      <c r="S7" s="1">
        <f t="shared" si="0"/>
        <v>1.5299895937247229E+27</v>
      </c>
      <c r="T7" s="1">
        <f t="shared" si="0"/>
        <v>1136903266.9050856</v>
      </c>
      <c r="U7" s="1">
        <f t="shared" si="0"/>
        <v>1.5314663081163539E+27</v>
      </c>
      <c r="V7" s="1">
        <f t="shared" si="0"/>
        <v>1138000646.862987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"/>
  <sheetViews>
    <sheetView tabSelected="1" workbookViewId="0">
      <selection activeCell="G28" sqref="G28"/>
    </sheetView>
  </sheetViews>
  <sheetFormatPr defaultRowHeight="15" x14ac:dyDescent="0.25"/>
  <cols>
    <col min="1" max="1" width="13.28515625" bestFit="1" customWidth="1"/>
    <col min="2" max="2" width="19.5703125" bestFit="1" customWidth="1"/>
    <col min="3" max="3" width="29.85546875" bestFit="1" customWidth="1"/>
    <col min="4" max="4" width="34.5703125" bestFit="1" customWidth="1"/>
    <col min="5" max="5" width="27.42578125" bestFit="1" customWidth="1"/>
    <col min="6" max="6" width="32.140625" bestFit="1" customWidth="1"/>
    <col min="7" max="7" width="27.42578125" bestFit="1" customWidth="1"/>
    <col min="8" max="8" width="32.140625" bestFit="1" customWidth="1"/>
    <col min="9" max="9" width="27.42578125" bestFit="1" customWidth="1"/>
    <col min="10" max="10" width="32.140625" bestFit="1" customWidth="1"/>
    <col min="11" max="11" width="27.42578125" bestFit="1" customWidth="1"/>
    <col min="12" max="12" width="32.140625" bestFit="1" customWidth="1"/>
    <col min="13" max="13" width="27.42578125" bestFit="1" customWidth="1"/>
    <col min="14" max="14" width="32.140625" bestFit="1" customWidth="1"/>
    <col min="15" max="15" width="27.42578125" bestFit="1" customWidth="1"/>
    <col min="16" max="16" width="32.140625" bestFit="1" customWidth="1"/>
    <col min="17" max="17" width="27.42578125" bestFit="1" customWidth="1"/>
    <col min="18" max="18" width="32.140625" bestFit="1" customWidth="1"/>
    <col min="19" max="19" width="27.42578125" bestFit="1" customWidth="1"/>
    <col min="20" max="20" width="32.140625" bestFit="1" customWidth="1"/>
    <col min="21" max="21" width="27.42578125" bestFit="1" customWidth="1"/>
    <col min="22" max="22" width="32.140625" bestFit="1" customWidth="1"/>
  </cols>
  <sheetData>
    <row r="1" spans="1:22" x14ac:dyDescent="0.25">
      <c r="A1" t="s">
        <v>0</v>
      </c>
      <c r="B1" t="s">
        <v>1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</row>
    <row r="2" spans="1:22" x14ac:dyDescent="0.25">
      <c r="A2" t="s">
        <v>22</v>
      </c>
      <c r="B2">
        <v>2.412412300405857E+17</v>
      </c>
      <c r="C2">
        <v>2.7398794549206781E+26</v>
      </c>
      <c r="D2">
        <v>1135742615.1656289</v>
      </c>
      <c r="E2">
        <v>2.743202197226294E+26</v>
      </c>
      <c r="F2">
        <v>1137119967.7454751</v>
      </c>
      <c r="G2">
        <v>2.7459682237893031E+26</v>
      </c>
      <c r="H2">
        <v>1138266548.934165</v>
      </c>
      <c r="I2">
        <v>2.7505806519371939E+26</v>
      </c>
      <c r="J2">
        <v>1140178505.753119</v>
      </c>
      <c r="K2">
        <v>2.7430085117600551E+26</v>
      </c>
      <c r="L2">
        <v>1137039680.6957829</v>
      </c>
      <c r="M2">
        <v>2.7458271956786559E+26</v>
      </c>
      <c r="N2">
        <v>1138208089.5611031</v>
      </c>
      <c r="O2">
        <v>2.75278864113435E+26</v>
      </c>
      <c r="P2">
        <v>1141093767.7076299</v>
      </c>
      <c r="Q2">
        <v>2.7433132035584839E+26</v>
      </c>
      <c r="R2">
        <v>1137165982.405643</v>
      </c>
      <c r="S2">
        <v>2.747058876532037E+26</v>
      </c>
      <c r="T2">
        <v>1138718649.407434</v>
      </c>
      <c r="U2">
        <v>2.7593094863700111E+26</v>
      </c>
      <c r="V2">
        <v>1143796806.9992819</v>
      </c>
    </row>
    <row r="3" spans="1:22" x14ac:dyDescent="0.25">
      <c r="A3" t="s">
        <v>23</v>
      </c>
      <c r="B3">
        <v>2.359043435805791E+17</v>
      </c>
      <c r="C3">
        <v>2.7425405419227999E+26</v>
      </c>
      <c r="D3">
        <v>1162564665.108006</v>
      </c>
      <c r="E3">
        <v>2.746527109444971E+26</v>
      </c>
      <c r="F3">
        <v>1164254573.5944979</v>
      </c>
      <c r="G3">
        <v>2.748409295095447E+26</v>
      </c>
      <c r="H3">
        <v>1165052433.2786009</v>
      </c>
      <c r="I3">
        <v>2.7508485520672359E+26</v>
      </c>
      <c r="J3">
        <v>1166086435.847085</v>
      </c>
      <c r="K3">
        <v>2.746669664602229E+26</v>
      </c>
      <c r="L3">
        <v>1164315002.815552</v>
      </c>
      <c r="M3">
        <v>2.7487861414095318E+26</v>
      </c>
      <c r="N3">
        <v>1165212178.668772</v>
      </c>
      <c r="O3">
        <v>2.7538399165489149E+26</v>
      </c>
      <c r="P3">
        <v>1167354477.1371591</v>
      </c>
      <c r="Q3">
        <v>2.74655253662765E+26</v>
      </c>
      <c r="R3">
        <v>1164265352.19327</v>
      </c>
      <c r="S3">
        <v>2.7494829562858921E+26</v>
      </c>
      <c r="T3">
        <v>1165507558.934258</v>
      </c>
      <c r="U3">
        <v>2.7591949382589071E+26</v>
      </c>
      <c r="V3">
        <v>1169624474.2167859</v>
      </c>
    </row>
    <row r="4" spans="1:22" x14ac:dyDescent="0.25">
      <c r="A4" t="s">
        <v>24</v>
      </c>
      <c r="B4">
        <v>2.3890710084718499E+17</v>
      </c>
      <c r="C4">
        <v>2.738481905479131E+26</v>
      </c>
      <c r="D4">
        <v>1146253876.8283739</v>
      </c>
      <c r="E4">
        <v>2.7415304453371029E+26</v>
      </c>
      <c r="F4">
        <v>1147529912.512187</v>
      </c>
      <c r="G4">
        <v>2.743434022307722E+26</v>
      </c>
      <c r="H4">
        <v>1148326697.942117</v>
      </c>
      <c r="I4">
        <v>2.7453321108170439E+26</v>
      </c>
      <c r="J4">
        <v>1149121186.051759</v>
      </c>
      <c r="K4">
        <v>2.7413310478278209E+26</v>
      </c>
      <c r="L4">
        <v>1147446450.1502161</v>
      </c>
      <c r="M4">
        <v>2.743340354845565E+26</v>
      </c>
      <c r="N4">
        <v>1148287491.2957571</v>
      </c>
      <c r="O4">
        <v>2.7473771438147289E+26</v>
      </c>
      <c r="P4">
        <v>1149977181.1186421</v>
      </c>
      <c r="Q4">
        <v>2.7415174707628581E+26</v>
      </c>
      <c r="R4">
        <v>1147524481.709084</v>
      </c>
      <c r="S4">
        <v>2.7441392190419389E+26</v>
      </c>
      <c r="T4">
        <v>1148621874.0719659</v>
      </c>
      <c r="U4">
        <v>2.751047384454882E+26</v>
      </c>
      <c r="V4">
        <v>1151513443.802814</v>
      </c>
    </row>
    <row r="5" spans="1:22" x14ac:dyDescent="0.25">
      <c r="A5" t="s">
        <v>25</v>
      </c>
      <c r="B5">
        <v>2.345836991521833E+17</v>
      </c>
      <c r="C5">
        <v>2.7239429464338281E+26</v>
      </c>
      <c r="D5">
        <v>1161181683.2450509</v>
      </c>
      <c r="E5">
        <v>2.7280221602904671E+26</v>
      </c>
      <c r="F5">
        <v>1162920599.406482</v>
      </c>
      <c r="G5">
        <v>2.7306495371801259E+26</v>
      </c>
      <c r="H5">
        <v>1164040616.2274089</v>
      </c>
      <c r="I5">
        <v>2.734345915834536E+26</v>
      </c>
      <c r="J5">
        <v>1165616334.6885681</v>
      </c>
      <c r="K5">
        <v>2.7280104171673271E+26</v>
      </c>
      <c r="L5">
        <v>1162915593.4648139</v>
      </c>
      <c r="M5">
        <v>2.7311597600165342E+26</v>
      </c>
      <c r="N5">
        <v>1164258117.630214</v>
      </c>
      <c r="O5">
        <v>2.737457249779604E+26</v>
      </c>
      <c r="P5">
        <v>1166942656.149229</v>
      </c>
      <c r="Q5">
        <v>2.72833520013964E+26</v>
      </c>
      <c r="R5">
        <v>1163054044.2495389</v>
      </c>
      <c r="S5">
        <v>2.732212290101619E+26</v>
      </c>
      <c r="T5">
        <v>1164706797.6062269</v>
      </c>
      <c r="U5">
        <v>2.7436303324313569E+26</v>
      </c>
      <c r="V5">
        <v>1169574161.524097</v>
      </c>
    </row>
    <row r="6" spans="1:22" x14ac:dyDescent="0.25">
      <c r="A6" t="s">
        <v>26</v>
      </c>
      <c r="B6">
        <v>2.347344451232615E+17</v>
      </c>
      <c r="C6">
        <v>2.7232889827715619E+26</v>
      </c>
      <c r="D6">
        <v>1160157377.559793</v>
      </c>
      <c r="E6">
        <v>2.7282117590641682E+26</v>
      </c>
      <c r="F6">
        <v>1162254545.82584</v>
      </c>
      <c r="G6">
        <v>2.7300614203864421E+26</v>
      </c>
      <c r="H6">
        <v>1163042526.1843691</v>
      </c>
      <c r="I6">
        <v>2.7322176990212E+26</v>
      </c>
      <c r="J6">
        <v>1163961129.6017871</v>
      </c>
      <c r="K6">
        <v>2.7281776884643592E+26</v>
      </c>
      <c r="L6">
        <v>1162240031.2965419</v>
      </c>
      <c r="M6">
        <v>2.7307448035235219E+26</v>
      </c>
      <c r="N6">
        <v>1163333656.502598</v>
      </c>
      <c r="O6">
        <v>2.7354644748792729E+26</v>
      </c>
      <c r="P6">
        <v>1165344299.3604341</v>
      </c>
      <c r="Q6">
        <v>2.7283020665257041E+26</v>
      </c>
      <c r="R6">
        <v>1162293018.0072401</v>
      </c>
      <c r="S6">
        <v>2.7313529743197301E+26</v>
      </c>
      <c r="T6">
        <v>1163592745.3618779</v>
      </c>
      <c r="U6">
        <v>2.7407604412621931E+26</v>
      </c>
      <c r="V6">
        <v>1167600451.575392</v>
      </c>
    </row>
    <row r="7" spans="1:22" s="1" customFormat="1" x14ac:dyDescent="0.25">
      <c r="A7" s="1" t="s">
        <v>47</v>
      </c>
      <c r="B7" s="1">
        <f>AVERAGE(B2:B6)</f>
        <v>2.3707416374875894E+17</v>
      </c>
      <c r="C7" s="1">
        <f>AVERAGE(C2:C6)</f>
        <v>2.7336267663056001E+26</v>
      </c>
      <c r="D7" s="1">
        <f t="shared" ref="D7:V7" si="0">AVERAGE(D2:D6)</f>
        <v>1153180043.5813706</v>
      </c>
      <c r="E7" s="1">
        <f t="shared" si="0"/>
        <v>2.7374987342726007E+26</v>
      </c>
      <c r="F7" s="1">
        <f t="shared" si="0"/>
        <v>1154815919.8168964</v>
      </c>
      <c r="G7" s="1">
        <f t="shared" si="0"/>
        <v>2.7397044997518085E+26</v>
      </c>
      <c r="H7" s="1">
        <f t="shared" si="0"/>
        <v>1155745764.5133321</v>
      </c>
      <c r="I7" s="1">
        <f t="shared" si="0"/>
        <v>2.7426649859354416E+26</v>
      </c>
      <c r="J7" s="1">
        <f t="shared" si="0"/>
        <v>1156992718.3884635</v>
      </c>
      <c r="K7" s="1">
        <f t="shared" si="0"/>
        <v>2.7374394659643584E+26</v>
      </c>
      <c r="L7" s="1">
        <f t="shared" si="0"/>
        <v>1154791351.6845813</v>
      </c>
      <c r="M7" s="1">
        <f t="shared" si="0"/>
        <v>2.7399716510947618E+26</v>
      </c>
      <c r="N7" s="1">
        <f t="shared" si="0"/>
        <v>1155859906.7316887</v>
      </c>
      <c r="O7" s="1">
        <f t="shared" si="0"/>
        <v>2.745385485231374E+26</v>
      </c>
      <c r="P7" s="1">
        <f t="shared" si="0"/>
        <v>1158142476.2946191</v>
      </c>
      <c r="Q7" s="1">
        <f t="shared" si="0"/>
        <v>2.7376040955228677E+26</v>
      </c>
      <c r="R7" s="1">
        <f t="shared" si="0"/>
        <v>1154860575.7129552</v>
      </c>
      <c r="S7" s="1">
        <f t="shared" si="0"/>
        <v>2.7408492632562431E+26</v>
      </c>
      <c r="T7" s="1">
        <f t="shared" si="0"/>
        <v>1156229525.0763526</v>
      </c>
      <c r="U7" s="1">
        <f t="shared" si="0"/>
        <v>2.7507885165554703E+26</v>
      </c>
      <c r="V7" s="1">
        <f t="shared" si="0"/>
        <v>1160421867.6236739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OHC Globally</vt:lpstr>
      <vt:lpstr>OHC 0-700 m depth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Grosvenor, Harry</cp:lastModifiedBy>
  <dcterms:created xsi:type="dcterms:W3CDTF">2025-02-21T16:20:50Z</dcterms:created>
  <dcterms:modified xsi:type="dcterms:W3CDTF">2025-10-03T11:11:04Z</dcterms:modified>
</cp:coreProperties>
</file>